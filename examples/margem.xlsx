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Garantia" sheetId="2" state="visible" r:id="rId4"/>
    <sheet name="Consignado" sheetId="3" state="visible" r:id="rId5"/>
    <sheet name="Consolidad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<sst xmlns="http://schemas.openxmlformats.org/spreadsheetml/2006/main" count="48" uniqueCount="29">
  <si>
    <t xml:space="preserve">margem.xlsx — dados de drivers por BU para o agente FP&amp;A (case Vértice)</t>
  </si>
  <si>
    <t xml:space="preserve">Abas 'Garantia' e 'Consignado': uma linha por driver, uma coluna por mês.</t>
  </si>
  <si>
    <t xml:space="preserve">A linha 'Margem de contribuição' é uma FÓRMULA — recalcula se você mudar qualquer driver acima dela.</t>
  </si>
  <si>
    <t xml:space="preserve">Aba 'Consolidado': soma as duas BUs e confere reconciliação contra os totais do case original.</t>
  </si>
  <si>
    <t xml:space="preserve">Consumido por:</t>
  </si>
  <si>
    <t xml:space="preserve">  - agent_engine.py (Python): lê estas abas com openpyxl no lugar dos dados embutidos no código.</t>
  </si>
  <si>
    <t xml:space="preserve">  - agente_fpa_landing.html: botão 'Carregar planilha (.xlsx)' no painel Agent Run.</t>
  </si>
  <si>
    <t xml:space="preserve">Não renomeie as abas nem os rótulos da coluna A — os dois parsers casam por texto.</t>
  </si>
  <si>
    <t xml:space="preserve">Para simular um novo mês: adicione uma coluna (ex.: 'set/26') nas duas abas de BU com os</t>
  </si>
  <si>
    <t xml:space="preserve">novos drivers; a fórmula da linha de margem preenche sozinha ao arrastar para a nova coluna.</t>
  </si>
  <si>
    <t xml:space="preserve">Driver</t>
  </si>
  <si>
    <t xml:space="preserve">jun/26</t>
  </si>
  <si>
    <t xml:space="preserve">jul/26</t>
  </si>
  <si>
    <t xml:space="preserve">ago/26</t>
  </si>
  <si>
    <t xml:space="preserve">Originação (R$ mn)</t>
  </si>
  <si>
    <t xml:space="preserve">Carteira média (R$ mn)</t>
  </si>
  <si>
    <t xml:space="preserve">Carteira final - EoP (R$ mn)</t>
  </si>
  <si>
    <t xml:space="preserve">Taxa média (% a.a.)</t>
  </si>
  <si>
    <t xml:space="preserve">Custo de funding (% a.a.)</t>
  </si>
  <si>
    <t xml:space="preserve">Custo de crédito (% a.a.)</t>
  </si>
  <si>
    <t xml:space="preserve">Opex variável (% a.a.)</t>
  </si>
  <si>
    <t xml:space="preserve">CAC (% da originação)</t>
  </si>
  <si>
    <t xml:space="preserve">Margem de contribuição (R$ mn)</t>
  </si>
  <si>
    <t xml:space="preserve">Fórmula: Margem = Carteira média × Taxa a.a. ÷ 12 − Carteira média × Funding ÷ 12 − Carteira média × Custo de crédito ÷ 12 − Carteira média × Opex ÷ 12 − Originação × CAC. Antes de G&amp;A (fixo, fora deste cálculo).</t>
  </si>
  <si>
    <t xml:space="preserve">Fonte: dados fictícios do case técnico Vértice (processo seletivo, FP&amp;A).</t>
  </si>
  <si>
    <t xml:space="preserve">Indicador</t>
  </si>
  <si>
    <t xml:space="preserve">Originação total (R$ mn)</t>
  </si>
  <si>
    <t xml:space="preserve">Margem — valor de referência do case (R$ mn)</t>
  </si>
  <si>
    <t xml:space="preserve">Reconciliado? (|calc - referência| &lt; 0,02)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</si>
</sst>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42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C42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</row>
    <row r="2" customFormat="false" ht="15" hidden="false" customHeight="false" outlineLevel="0" collapsed="false">
      <c r="A2" s="4" t="s">
        <v>14</v>
      </c>
      <c r="B2" s="5" t="n">
        <v>120</v>
      </c>
      <c r="C2" s="5" t="n">
        <v>110</v>
      </c>
      <c r="D2" s="5" t="n">
        <v>112</v>
      </c>
    </row>
    <row r="3" customFormat="false" ht="15" hidden="false" customHeight="false" outlineLevel="0" collapsed="false">
      <c r="A3" s="4" t="s">
        <v>15</v>
      </c>
      <c r="B3" s="5" t="n">
        <v>1800</v>
      </c>
      <c r="C3" s="5" t="n">
        <v>1820</v>
      </c>
      <c r="D3" s="5" t="n">
        <v>1840</v>
      </c>
    </row>
    <row r="4" customFormat="false" ht="15" hidden="false" customHeight="false" outlineLevel="0" collapsed="false">
      <c r="A4" s="4" t="s">
        <v>16</v>
      </c>
      <c r="B4" s="5" t="n">
        <v>1810</v>
      </c>
      <c r="C4" s="5" t="n">
        <v>1830</v>
      </c>
      <c r="D4" s="5" t="n">
        <v>1700</v>
      </c>
    </row>
    <row r="5" customFormat="false" ht="15" hidden="false" customHeight="false" outlineLevel="0" collapsed="false">
      <c r="A5" s="4" t="s">
        <v>17</v>
      </c>
      <c r="B5" s="6" t="n">
        <v>0.28</v>
      </c>
      <c r="C5" s="6" t="n">
        <v>0.28</v>
      </c>
      <c r="D5" s="6" t="n">
        <v>0.264</v>
      </c>
    </row>
    <row r="6" customFormat="false" ht="15" hidden="false" customHeight="false" outlineLevel="0" collapsed="false">
      <c r="A6" s="4" t="s">
        <v>18</v>
      </c>
      <c r="B6" s="6" t="n">
        <v>0.13</v>
      </c>
      <c r="C6" s="6" t="n">
        <v>0.13</v>
      </c>
      <c r="D6" s="6" t="n">
        <v>0.136</v>
      </c>
    </row>
    <row r="7" customFormat="false" ht="15" hidden="false" customHeight="false" outlineLevel="0" collapsed="false">
      <c r="A7" s="4" t="s">
        <v>19</v>
      </c>
      <c r="B7" s="6" t="n">
        <v>0.045</v>
      </c>
      <c r="C7" s="6" t="n">
        <v>0.045</v>
      </c>
      <c r="D7" s="6" t="n">
        <v>0.046</v>
      </c>
    </row>
    <row r="8" customFormat="false" ht="15" hidden="false" customHeight="false" outlineLevel="0" collapsed="false">
      <c r="A8" s="4" t="s">
        <v>20</v>
      </c>
      <c r="B8" s="6" t="n">
        <v>0.008</v>
      </c>
      <c r="C8" s="6" t="n">
        <v>0.008</v>
      </c>
      <c r="D8" s="6" t="n">
        <v>0.008</v>
      </c>
    </row>
    <row r="9" customFormat="false" ht="15" hidden="false" customHeight="false" outlineLevel="0" collapsed="false">
      <c r="A9" s="4" t="s">
        <v>21</v>
      </c>
      <c r="B9" s="6" t="n">
        <v>0.022</v>
      </c>
      <c r="C9" s="6" t="n">
        <v>0.022</v>
      </c>
      <c r="D9" s="6" t="n">
        <v>0.022</v>
      </c>
    </row>
    <row r="11" customFormat="false" ht="15" hidden="false" customHeight="false" outlineLevel="0" collapsed="false">
      <c r="A11" s="4" t="s">
        <v>22</v>
      </c>
      <c r="B11" s="7" t="n">
        <f aca="false">B3*B5/12-B3*B6/12-B3*B7/12-B3*B8/12-B2*B9</f>
        <v>11.91</v>
      </c>
      <c r="C11" s="7" t="n">
        <f aca="false">C3*C5/12-C3*C6/12-C3*C7/12-C3*C8/12-C2*C9</f>
        <v>12.2916666666667</v>
      </c>
      <c r="D11" s="7" t="n">
        <f aca="false">D3*D5/12-D3*D6/12-D3*D7/12-D3*D8/12-D2*D9</f>
        <v>8.88266666666667</v>
      </c>
    </row>
    <row r="13" customFormat="false" ht="15" hidden="false" customHeight="false" outlineLevel="0" collapsed="false">
      <c r="A13" s="8" t="s">
        <v>23</v>
      </c>
    </row>
    <row r="14" customFormat="false" ht="15" hidden="false" customHeight="false" outlineLevel="0" collapsed="false">
      <c r="A14" s="8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</row>
    <row r="2" customFormat="false" ht="15" hidden="false" customHeight="false" outlineLevel="0" collapsed="false">
      <c r="A2" s="4" t="s">
        <v>14</v>
      </c>
      <c r="B2" s="5" t="n">
        <v>40</v>
      </c>
      <c r="C2" s="5" t="n">
        <v>75</v>
      </c>
      <c r="D2" s="5" t="n">
        <v>45</v>
      </c>
    </row>
    <row r="3" customFormat="false" ht="15" hidden="false" customHeight="false" outlineLevel="0" collapsed="false">
      <c r="A3" s="4" t="s">
        <v>15</v>
      </c>
      <c r="B3" s="5" t="n">
        <v>620</v>
      </c>
      <c r="C3" s="5" t="n">
        <v>650</v>
      </c>
      <c r="D3" s="5" t="n">
        <v>680</v>
      </c>
    </row>
    <row r="4" customFormat="false" ht="15" hidden="false" customHeight="false" outlineLevel="0" collapsed="false">
      <c r="A4" s="4" t="s">
        <v>16</v>
      </c>
      <c r="B4" s="5" t="n">
        <v>630</v>
      </c>
      <c r="C4" s="5" t="n">
        <v>660</v>
      </c>
      <c r="D4" s="5" t="n">
        <v>690</v>
      </c>
    </row>
    <row r="5" customFormat="false" ht="15" hidden="false" customHeight="false" outlineLevel="0" collapsed="false">
      <c r="A5" s="4" t="s">
        <v>17</v>
      </c>
      <c r="B5" s="6" t="n">
        <v>0.22</v>
      </c>
      <c r="C5" s="6" t="n">
        <v>0.22</v>
      </c>
      <c r="D5" s="6" t="n">
        <v>0.22</v>
      </c>
    </row>
    <row r="6" customFormat="false" ht="15" hidden="false" customHeight="false" outlineLevel="0" collapsed="false">
      <c r="A6" s="4" t="s">
        <v>18</v>
      </c>
      <c r="B6" s="6" t="n">
        <v>0.13</v>
      </c>
      <c r="C6" s="6" t="n">
        <v>0.13</v>
      </c>
      <c r="D6" s="6" t="n">
        <v>0.13</v>
      </c>
    </row>
    <row r="7" customFormat="false" ht="15" hidden="false" customHeight="false" outlineLevel="0" collapsed="false">
      <c r="A7" s="4" t="s">
        <v>19</v>
      </c>
      <c r="B7" s="6" t="n">
        <v>0.02</v>
      </c>
      <c r="C7" s="6" t="n">
        <v>0.02</v>
      </c>
      <c r="D7" s="6" t="n">
        <v>0.02</v>
      </c>
    </row>
    <row r="8" customFormat="false" ht="15" hidden="false" customHeight="false" outlineLevel="0" collapsed="false">
      <c r="A8" s="4" t="s">
        <v>20</v>
      </c>
      <c r="B8" s="6" t="n">
        <v>0.006</v>
      </c>
      <c r="C8" s="6" t="n">
        <v>0.006</v>
      </c>
      <c r="D8" s="6" t="n">
        <v>0.006</v>
      </c>
    </row>
    <row r="9" customFormat="false" ht="15" hidden="false" customHeight="false" outlineLevel="0" collapsed="false">
      <c r="A9" s="4" t="s">
        <v>21</v>
      </c>
      <c r="B9" s="6" t="n">
        <v>0.058</v>
      </c>
      <c r="C9" s="6" t="n">
        <v>0.058</v>
      </c>
      <c r="D9" s="6" t="n">
        <v>0.058</v>
      </c>
    </row>
    <row r="11" customFormat="false" ht="15" hidden="false" customHeight="false" outlineLevel="0" collapsed="false">
      <c r="A11" s="4" t="s">
        <v>22</v>
      </c>
      <c r="B11" s="7" t="n">
        <f aca="false">B3*B5/12-B3*B6/12-B3*B7/12-B3*B8/12-B2*B9</f>
        <v>0.986666666666666</v>
      </c>
      <c r="C11" s="7" t="n">
        <f aca="false">C3*C5/12-C3*C6/12-C3*C7/12-C3*C8/12-C2*C9</f>
        <v>-0.883333333333335</v>
      </c>
      <c r="D11" s="7" t="n">
        <f aca="false">D3*D5/12-D3*D6/12-D3*D7/12-D3*D8/12-D2*D9</f>
        <v>1.01666666666667</v>
      </c>
    </row>
    <row r="13" customFormat="false" ht="15" hidden="false" customHeight="false" outlineLevel="0" collapsed="false">
      <c r="A13" s="8" t="s">
        <v>23</v>
      </c>
    </row>
    <row r="14" customFormat="false" ht="15" hidden="false" customHeight="false" outlineLevel="0" collapsed="false">
      <c r="A14" s="8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3" t="s">
        <v>25</v>
      </c>
      <c r="B1" s="3" t="s">
        <v>11</v>
      </c>
      <c r="C1" s="3" t="s">
        <v>12</v>
      </c>
      <c r="D1" s="3" t="s">
        <v>13</v>
      </c>
    </row>
    <row r="2" customFormat="false" ht="15" hidden="false" customHeight="false" outlineLevel="0" collapsed="false">
      <c r="A2" s="4" t="s">
        <v>26</v>
      </c>
      <c r="B2" s="7" t="n">
        <f aca="false">Garantia!B2+Consignado!B2</f>
        <v>160</v>
      </c>
      <c r="C2" s="7" t="n">
        <f aca="false">Garantia!C2+Consignado!C2</f>
        <v>185</v>
      </c>
      <c r="D2" s="7" t="n">
        <f aca="false">Garantia!D2+Consignado!D2</f>
        <v>157</v>
      </c>
    </row>
    <row r="3" customFormat="false" ht="15" hidden="false" customHeight="false" outlineLevel="0" collapsed="false">
      <c r="A3" s="4" t="s">
        <v>22</v>
      </c>
      <c r="B3" s="7" t="n">
        <f aca="false">Garantia!B11+Consignado!B11</f>
        <v>12.8966666666667</v>
      </c>
      <c r="C3" s="7" t="n">
        <f aca="false">Garantia!C11+Consignado!C11</f>
        <v>11.4083333333333</v>
      </c>
      <c r="D3" s="7" t="n">
        <f aca="false">Garantia!D11+Consignado!D11</f>
        <v>9.89933333333333</v>
      </c>
    </row>
    <row r="4" customFormat="false" ht="15" hidden="false" customHeight="false" outlineLevel="0" collapsed="false">
      <c r="A4" s="4" t="s">
        <v>27</v>
      </c>
      <c r="B4" s="5" t="n">
        <v>12.9</v>
      </c>
      <c r="C4" s="5" t="n">
        <v>11.4</v>
      </c>
      <c r="D4" s="5" t="n">
        <v>9.9</v>
      </c>
    </row>
    <row r="5" customFormat="false" ht="15" hidden="false" customHeight="false" outlineLevel="0" collapsed="false">
      <c r="A5" s="4" t="s">
        <v>28</v>
      </c>
      <c r="B5" s="9" t="str">
        <f aca="false">IF(ABS(B3-B4)&lt;0.02,"OK","DIVERGE")</f>
        <v>OK</v>
      </c>
      <c r="C5" s="9" t="str">
        <f aca="false">IF(ABS(C3-C4)&lt;0.02,"OK","DIVERGE")</f>
        <v>OK</v>
      </c>
      <c r="D5" s="9" t="str">
        <f aca="false">IF(ABS(D3-D4)&lt;0.02,"OK","DIVERGE")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2026-09-10T21:56:35Z</dcterms:created>
  <dc:creator>openpyxl</dc:creator>
  <dc:description/>
  <dc:language>en-US</dc:language>
  <cp:lastModifiedBy/>
  <dcterms:modified xsi:type="dcterms:W3CDTF">2026-09-10T21:56:35Z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